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77DA60B7-5F70-4C74-A812-E6D33232A2CC}" xr6:coauthVersionLast="47" xr6:coauthVersionMax="47" xr10:uidLastSave="{00000000-0000-0000-0000-000000000000}"/>
  <bookViews>
    <workbookView xWindow="-108" yWindow="-108" windowWidth="23256" windowHeight="12456" xr2:uid="{623C47D0-258A-443F-BFB5-574708F91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M32" i="1"/>
  <c r="Q30" i="1"/>
  <c r="Q26" i="1"/>
  <c r="Q28" i="1"/>
  <c r="Q27" i="1"/>
  <c r="P30" i="1"/>
  <c r="Q29" i="1"/>
  <c r="P29" i="1"/>
  <c r="P28" i="1"/>
  <c r="P27" i="1"/>
  <c r="P26" i="1"/>
  <c r="O30" i="1"/>
  <c r="O29" i="1"/>
  <c r="O28" i="1"/>
  <c r="O27" i="1"/>
  <c r="O26" i="1"/>
  <c r="P18" i="1"/>
  <c r="Q18" i="1"/>
  <c r="P21" i="1"/>
  <c r="Q21" i="1"/>
  <c r="O21" i="1"/>
  <c r="O18" i="1"/>
  <c r="P17" i="1"/>
  <c r="Q17" i="1"/>
  <c r="P22" i="1"/>
  <c r="Q22" i="1"/>
  <c r="O9" i="1"/>
  <c r="Q11" i="1"/>
  <c r="Q13" i="1"/>
  <c r="Q14" i="1"/>
  <c r="Q9" i="1"/>
  <c r="P13" i="1"/>
  <c r="P14" i="1"/>
  <c r="P15" i="1"/>
  <c r="P9" i="1"/>
  <c r="I13" i="1"/>
  <c r="O13" i="1" s="1"/>
  <c r="I14" i="1"/>
  <c r="O14" i="1" s="1"/>
  <c r="I15" i="1"/>
  <c r="O15" i="1" s="1"/>
  <c r="I9" i="1"/>
  <c r="G11" i="1"/>
  <c r="I11" i="1" s="1"/>
  <c r="G12" i="1"/>
  <c r="Q12" i="1" s="1"/>
  <c r="G13" i="1"/>
  <c r="G14" i="1"/>
  <c r="G15" i="1"/>
  <c r="Q15" i="1" s="1"/>
  <c r="G9" i="1"/>
  <c r="P11" i="1" l="1"/>
  <c r="O11" i="1"/>
  <c r="Q20" i="1"/>
  <c r="I12" i="1"/>
  <c r="Q19" i="1"/>
  <c r="O12" i="1" l="1"/>
  <c r="P12" i="1"/>
  <c r="O20" i="1"/>
  <c r="O19" i="1"/>
  <c r="O22" i="1"/>
  <c r="O17" i="1"/>
  <c r="P20" i="1"/>
  <c r="P19" i="1"/>
</calcChain>
</file>

<file path=xl/sharedStrings.xml><?xml version="1.0" encoding="utf-8"?>
<sst xmlns="http://schemas.openxmlformats.org/spreadsheetml/2006/main" count="54" uniqueCount="46">
  <si>
    <t>Company</t>
  </si>
  <si>
    <t>Ticker</t>
  </si>
  <si>
    <t>Share Price</t>
  </si>
  <si>
    <t>Shares Outstanding</t>
  </si>
  <si>
    <t>Outstanding</t>
  </si>
  <si>
    <t>Shares</t>
  </si>
  <si>
    <t>Net Debt</t>
  </si>
  <si>
    <t>Revenue</t>
  </si>
  <si>
    <t>EBITDA</t>
  </si>
  <si>
    <t>Net Income</t>
  </si>
  <si>
    <t>EV/Revenue</t>
  </si>
  <si>
    <t>EV/EBITDA</t>
  </si>
  <si>
    <t>P/E</t>
  </si>
  <si>
    <t>Tata Motors</t>
  </si>
  <si>
    <t>Mahindra &amp; Mahindra</t>
  </si>
  <si>
    <t>Maruti Suzuki India</t>
  </si>
  <si>
    <t>Hyundai Motor India</t>
  </si>
  <si>
    <t>Force Motors</t>
  </si>
  <si>
    <t>Ashok Leyland</t>
  </si>
  <si>
    <t>M&amp;M</t>
  </si>
  <si>
    <t>MARUTI</t>
  </si>
  <si>
    <t>HYUNDAI</t>
  </si>
  <si>
    <t>TATAMOTORS</t>
  </si>
  <si>
    <t>FORCEMOT</t>
  </si>
  <si>
    <t>ASHOKLEY</t>
  </si>
  <si>
    <t>(in Rs. Crores)</t>
  </si>
  <si>
    <t>Equity Value</t>
  </si>
  <si>
    <t>(in Rs.)</t>
  </si>
  <si>
    <t>Enterprise Value</t>
  </si>
  <si>
    <t>High</t>
  </si>
  <si>
    <t>75th Percentile</t>
  </si>
  <si>
    <t>Average</t>
  </si>
  <si>
    <t>Median</t>
  </si>
  <si>
    <t>25th Percentile</t>
  </si>
  <si>
    <t>Low</t>
  </si>
  <si>
    <t>Tata Motors Valuation</t>
  </si>
  <si>
    <t>Implied Enterprise Value(in Rs. Crores)</t>
  </si>
  <si>
    <t>Net Debt (in Rs. Crores)</t>
  </si>
  <si>
    <t>Implied Market Value (in Rs. Crores)</t>
  </si>
  <si>
    <t>Implied Value Per Share (in Rs.)</t>
  </si>
  <si>
    <t>Comparable Company Analysis</t>
  </si>
  <si>
    <t>Market Data</t>
  </si>
  <si>
    <t>Financials</t>
  </si>
  <si>
    <t>Valuation</t>
  </si>
  <si>
    <t>RANGE-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</si>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</sst>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E6D7-19C9-4FBF-B6BC-48C501A5F544}">
  <dimension ref="C3:Q32"/>
  <sheetViews>
    <sheetView tabSelected="1" topLeftCell="B6" zoomScale="93" workbookViewId="0">
      <selection activeCell="Q34" sqref="Q34"/>
    </sheetView>
  </sheetViews>
  <sheetFormatPr defaultRowHeight="14.4" x14ac:dyDescent="0.3"/>
  <cols>
    <col min="1" max="1" width="8.88671875" style="1"/>
    <col min="2" max="2" width="3.21875" style="1" customWidth="1"/>
    <col min="3" max="3" width="35" style="1" customWidth="1"/>
    <col min="4" max="4" width="13.109375" style="1" customWidth="1"/>
    <col min="5" max="5" width="12.77734375" style="1" customWidth="1"/>
    <col min="6" max="6" width="16.109375" style="1" customWidth="1"/>
    <col min="7" max="7" width="19.44140625" style="1" customWidth="1"/>
    <col min="8" max="8" width="11.44140625" style="1" customWidth="1"/>
    <col min="9" max="9" width="17.6640625" style="1" customWidth="1"/>
    <col min="10" max="10" width="3" style="1" customWidth="1"/>
    <col min="11" max="11" width="12.33203125" style="1" customWidth="1"/>
    <col min="12" max="12" width="11.88671875" style="1" customWidth="1"/>
    <col min="13" max="13" width="11.5546875" style="1" customWidth="1"/>
    <col min="14" max="14" width="3.44140625" style="1" customWidth="1"/>
    <col min="15" max="15" width="12.21875" style="1" customWidth="1"/>
    <col min="16" max="16" width="11.6640625" style="1" customWidth="1"/>
    <col min="17" max="17" width="11" style="1" bestFit="1" customWidth="1"/>
    <col min="18" max="16384" width="8.88671875" style="1"/>
  </cols>
  <sheetData>
    <row r="3" spans="3:17" ht="25.8" x14ac:dyDescent="0.5">
      <c r="F3" s="16"/>
      <c r="G3" s="15" t="s">
        <v>40</v>
      </c>
      <c r="H3" s="14"/>
      <c r="I3" s="14"/>
    </row>
    <row r="5" spans="3:17" x14ac:dyDescent="0.3">
      <c r="C5" s="3"/>
      <c r="D5" s="8"/>
      <c r="E5" s="8"/>
      <c r="F5" s="8"/>
      <c r="G5" s="8" t="s">
        <v>41</v>
      </c>
      <c r="H5" s="8"/>
      <c r="I5" s="8"/>
      <c r="J5" s="3"/>
      <c r="K5" s="8"/>
      <c r="L5" s="8" t="s">
        <v>42</v>
      </c>
      <c r="M5" s="8"/>
      <c r="N5" s="3"/>
      <c r="O5" s="8"/>
      <c r="P5" s="8" t="s">
        <v>43</v>
      </c>
      <c r="Q5" s="8"/>
    </row>
    <row r="6" spans="3:17" x14ac:dyDescent="0.3">
      <c r="C6" s="2"/>
      <c r="D6" s="2"/>
      <c r="E6" s="2" t="s">
        <v>2</v>
      </c>
      <c r="F6" s="2" t="s">
        <v>5</v>
      </c>
      <c r="G6" s="3" t="s">
        <v>26</v>
      </c>
      <c r="H6" s="2" t="s">
        <v>6</v>
      </c>
      <c r="I6" s="2" t="s">
        <v>28</v>
      </c>
      <c r="J6" s="3"/>
      <c r="K6" s="2" t="s">
        <v>7</v>
      </c>
      <c r="L6" s="2" t="s">
        <v>8</v>
      </c>
      <c r="M6" s="2" t="s">
        <v>9</v>
      </c>
      <c r="N6" s="3"/>
      <c r="O6" s="3"/>
      <c r="P6" s="3"/>
      <c r="Q6" s="3"/>
    </row>
    <row r="7" spans="3:17" x14ac:dyDescent="0.3">
      <c r="C7" s="2" t="s">
        <v>0</v>
      </c>
      <c r="D7" s="2" t="s">
        <v>1</v>
      </c>
      <c r="E7" s="2" t="s">
        <v>27</v>
      </c>
      <c r="F7" s="2" t="s">
        <v>4</v>
      </c>
      <c r="G7" s="2" t="s">
        <v>25</v>
      </c>
      <c r="H7" s="2" t="s">
        <v>25</v>
      </c>
      <c r="I7" s="2" t="s">
        <v>25</v>
      </c>
      <c r="J7" s="3"/>
      <c r="K7" s="2" t="s">
        <v>25</v>
      </c>
      <c r="L7" s="2" t="s">
        <v>25</v>
      </c>
      <c r="M7" s="2" t="s">
        <v>25</v>
      </c>
      <c r="N7" s="3"/>
      <c r="O7" s="2" t="s">
        <v>10</v>
      </c>
      <c r="P7" s="2" t="s">
        <v>11</v>
      </c>
      <c r="Q7" s="2" t="s">
        <v>12</v>
      </c>
    </row>
    <row r="9" spans="3:17" x14ac:dyDescent="0.3">
      <c r="C9" s="4" t="s">
        <v>13</v>
      </c>
      <c r="D9" s="4" t="s">
        <v>22</v>
      </c>
      <c r="E9" s="4">
        <v>731</v>
      </c>
      <c r="F9" s="4">
        <v>3680621202</v>
      </c>
      <c r="G9" s="4">
        <f>E9*F9/10000000</f>
        <v>269053.4098662</v>
      </c>
      <c r="H9" s="4">
        <v>107262</v>
      </c>
      <c r="I9" s="4">
        <f>(G9+H9)</f>
        <v>376315.4098662</v>
      </c>
      <c r="J9" s="4"/>
      <c r="K9" s="4">
        <v>443601</v>
      </c>
      <c r="L9" s="4">
        <v>65211</v>
      </c>
      <c r="M9" s="4">
        <v>31807</v>
      </c>
      <c r="N9" s="4"/>
      <c r="O9" s="4">
        <f>I9/K9</f>
        <v>0.84831957066417796</v>
      </c>
      <c r="P9" s="4">
        <f>I9/L9</f>
        <v>5.770735149993099</v>
      </c>
      <c r="Q9" s="4">
        <f>G9/M9</f>
        <v>8.4589370222340996</v>
      </c>
    </row>
    <row r="11" spans="3:17" x14ac:dyDescent="0.3">
      <c r="C11" s="1" t="s">
        <v>14</v>
      </c>
      <c r="D11" s="1" t="s">
        <v>19</v>
      </c>
      <c r="E11" s="1">
        <v>3136</v>
      </c>
      <c r="F11" s="1">
        <v>1115601543</v>
      </c>
      <c r="G11" s="1">
        <f t="shared" ref="G11:G15" si="0">E11*F11/10000000</f>
        <v>349852.64388480003</v>
      </c>
      <c r="H11" s="1">
        <v>108647</v>
      </c>
      <c r="I11" s="1">
        <f t="shared" ref="I11:I15" si="1">(G11+H11)</f>
        <v>458499.64388480003</v>
      </c>
      <c r="K11" s="1">
        <v>142376</v>
      </c>
      <c r="L11" s="1">
        <v>28190</v>
      </c>
      <c r="M11" s="1">
        <v>12270</v>
      </c>
      <c r="O11" s="1">
        <f t="shared" ref="O11:O15" si="2">I11/K11</f>
        <v>3.2203436245209867</v>
      </c>
      <c r="P11" s="1">
        <f t="shared" ref="P11:P15" si="3">I11/L11</f>
        <v>16.264620215849593</v>
      </c>
      <c r="Q11" s="1">
        <f t="shared" ref="Q11:Q15" si="4">G11/M11</f>
        <v>28.51284791237164</v>
      </c>
    </row>
    <row r="12" spans="3:17" x14ac:dyDescent="0.3">
      <c r="C12" s="1" t="s">
        <v>15</v>
      </c>
      <c r="D12" s="1" t="s">
        <v>20</v>
      </c>
      <c r="E12" s="1">
        <v>12995</v>
      </c>
      <c r="F12" s="1">
        <v>314400202</v>
      </c>
      <c r="G12" s="1">
        <f t="shared" si="0"/>
        <v>408563.06249899999</v>
      </c>
      <c r="H12" s="1">
        <v>119</v>
      </c>
      <c r="I12" s="1">
        <f t="shared" si="1"/>
        <v>408682.06249899999</v>
      </c>
      <c r="K12" s="1">
        <v>146106</v>
      </c>
      <c r="L12" s="1">
        <v>22874</v>
      </c>
      <c r="M12" s="1">
        <v>13488</v>
      </c>
      <c r="O12" s="1">
        <f t="shared" si="2"/>
        <v>2.7971613930913173</v>
      </c>
      <c r="P12" s="1">
        <f t="shared" si="3"/>
        <v>17.866663569948411</v>
      </c>
      <c r="Q12" s="1">
        <f t="shared" si="4"/>
        <v>30.290855760602017</v>
      </c>
    </row>
    <row r="13" spans="3:17" x14ac:dyDescent="0.3">
      <c r="C13" s="1" t="s">
        <v>16</v>
      </c>
      <c r="D13" s="1" t="s">
        <v>21</v>
      </c>
      <c r="E13" s="1">
        <v>1856</v>
      </c>
      <c r="F13" s="1">
        <v>812541100</v>
      </c>
      <c r="G13" s="1">
        <f t="shared" si="0"/>
        <v>150807.62815999999</v>
      </c>
      <c r="H13" s="1">
        <v>832</v>
      </c>
      <c r="I13" s="1">
        <f t="shared" si="1"/>
        <v>151639.62815999999</v>
      </c>
      <c r="K13" s="1">
        <v>69996</v>
      </c>
      <c r="L13" s="1">
        <v>10425</v>
      </c>
      <c r="M13" s="1">
        <v>5954</v>
      </c>
      <c r="O13" s="1">
        <f t="shared" si="2"/>
        <v>2.1664041968112464</v>
      </c>
      <c r="P13" s="1">
        <f t="shared" si="3"/>
        <v>14.545767689208633</v>
      </c>
      <c r="Q13" s="1">
        <f t="shared" si="4"/>
        <v>25.328792099428956</v>
      </c>
    </row>
    <row r="14" spans="3:17" x14ac:dyDescent="0.3">
      <c r="C14" s="1" t="s">
        <v>17</v>
      </c>
      <c r="D14" s="1" t="s">
        <v>23</v>
      </c>
      <c r="E14" s="1">
        <v>10954</v>
      </c>
      <c r="F14" s="1">
        <v>13175274</v>
      </c>
      <c r="G14" s="1">
        <f t="shared" si="0"/>
        <v>14432.1951396</v>
      </c>
      <c r="H14" s="1">
        <v>524</v>
      </c>
      <c r="I14" s="1">
        <f t="shared" si="1"/>
        <v>14956.1951396</v>
      </c>
      <c r="K14" s="1">
        <v>7029</v>
      </c>
      <c r="L14" s="1">
        <v>934</v>
      </c>
      <c r="M14" s="1">
        <v>388</v>
      </c>
      <c r="O14" s="1">
        <f t="shared" si="2"/>
        <v>2.127784199687011</v>
      </c>
      <c r="P14" s="1">
        <f t="shared" si="3"/>
        <v>16.013056894646681</v>
      </c>
      <c r="Q14" s="1">
        <f t="shared" si="4"/>
        <v>37.1963792257732</v>
      </c>
    </row>
    <row r="15" spans="3:17" x14ac:dyDescent="0.3">
      <c r="C15" s="1" t="s">
        <v>18</v>
      </c>
      <c r="D15" s="1" t="s">
        <v>24</v>
      </c>
      <c r="E15" s="1">
        <v>237</v>
      </c>
      <c r="F15" s="1">
        <v>2941776062</v>
      </c>
      <c r="G15" s="1">
        <f t="shared" si="0"/>
        <v>69720.092669399994</v>
      </c>
      <c r="H15" s="1">
        <v>40802</v>
      </c>
      <c r="I15" s="1">
        <f t="shared" si="1"/>
        <v>110522.09266939999</v>
      </c>
      <c r="K15" s="1">
        <v>45864</v>
      </c>
      <c r="L15" s="1">
        <v>8015</v>
      </c>
      <c r="M15" s="1">
        <v>2696</v>
      </c>
      <c r="O15" s="1">
        <f t="shared" si="2"/>
        <v>2.409778751731205</v>
      </c>
      <c r="P15" s="1">
        <f t="shared" si="3"/>
        <v>13.789406446587648</v>
      </c>
      <c r="Q15" s="1">
        <f t="shared" si="4"/>
        <v>25.860568497551927</v>
      </c>
    </row>
    <row r="17" spans="3:17" x14ac:dyDescent="0.3">
      <c r="C17" s="4" t="s">
        <v>29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>
        <f>MAX(O11:O15)</f>
        <v>3.2203436245209867</v>
      </c>
      <c r="P17" s="4">
        <f t="shared" ref="P17:Q17" si="5">MAX(P11:P15)</f>
        <v>17.866663569948411</v>
      </c>
      <c r="Q17" s="4">
        <f t="shared" si="5"/>
        <v>37.1963792257732</v>
      </c>
    </row>
    <row r="18" spans="3:17" x14ac:dyDescent="0.3">
      <c r="C18" s="4" t="s">
        <v>30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>
        <f>QUARTILE(O11:O15,3)</f>
        <v>2.7971613930913173</v>
      </c>
      <c r="P18" s="4">
        <f t="shared" ref="P18:Q18" si="6">QUARTILE(P11:P15,3)</f>
        <v>16.264620215849593</v>
      </c>
      <c r="Q18" s="4">
        <f t="shared" si="6"/>
        <v>30.290855760602017</v>
      </c>
    </row>
    <row r="19" spans="3:17" x14ac:dyDescent="0.3">
      <c r="C19" s="5" t="s">
        <v>31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>
        <f>AVERAGE(O11:O15)</f>
        <v>2.544294433168353</v>
      </c>
      <c r="P19" s="9">
        <f t="shared" ref="P19:Q19" si="7">AVERAGE(P11:P15)</f>
        <v>15.695902963248193</v>
      </c>
      <c r="Q19" s="9">
        <f t="shared" si="7"/>
        <v>29.43788869914555</v>
      </c>
    </row>
    <row r="20" spans="3:17" x14ac:dyDescent="0.3">
      <c r="C20" s="4" t="s">
        <v>32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>
        <f>MEDIAN(O11:O15)</f>
        <v>2.409778751731205</v>
      </c>
      <c r="P20" s="4">
        <f t="shared" ref="P20:Q20" si="8">MEDIAN(P11:P15)</f>
        <v>16.013056894646681</v>
      </c>
      <c r="Q20" s="4">
        <f t="shared" si="8"/>
        <v>28.51284791237164</v>
      </c>
    </row>
    <row r="21" spans="3:17" x14ac:dyDescent="0.3">
      <c r="C21" s="4" t="s">
        <v>33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>
        <f>QUARTILE(O11:O15,1)</f>
        <v>2.1664041968112464</v>
      </c>
      <c r="P21" s="4">
        <f t="shared" ref="P21:Q21" si="9">QUARTILE(P11:P15,1)</f>
        <v>14.545767689208633</v>
      </c>
      <c r="Q21" s="4">
        <f t="shared" si="9"/>
        <v>25.860568497551927</v>
      </c>
    </row>
    <row r="22" spans="3:17" x14ac:dyDescent="0.3">
      <c r="C22" s="4" t="s">
        <v>34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>
        <f>MIN(O11:O15)</f>
        <v>2.127784199687011</v>
      </c>
      <c r="P22" s="4">
        <f t="shared" ref="P22:Q22" si="10">MIN(P11:P15)</f>
        <v>13.789406446587648</v>
      </c>
      <c r="Q22" s="4">
        <f t="shared" si="10"/>
        <v>25.328792099428956</v>
      </c>
    </row>
    <row r="25" spans="3:17" x14ac:dyDescent="0.3">
      <c r="C25" s="3" t="s">
        <v>35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2" t="s">
        <v>10</v>
      </c>
      <c r="P25" s="2" t="s">
        <v>11</v>
      </c>
      <c r="Q25" s="2" t="s">
        <v>12</v>
      </c>
    </row>
    <row r="26" spans="3:17" x14ac:dyDescent="0.3">
      <c r="C26" s="1" t="s">
        <v>36</v>
      </c>
      <c r="O26" s="1">
        <f>O19*K9</f>
        <v>1128651.5548479145</v>
      </c>
      <c r="P26" s="1">
        <f>P19*L9</f>
        <v>1023545.5281363779</v>
      </c>
      <c r="Q26" s="1">
        <f>Q28+Q27</f>
        <v>1043592.9258537225</v>
      </c>
    </row>
    <row r="27" spans="3:17" x14ac:dyDescent="0.3">
      <c r="C27" s="1" t="s">
        <v>37</v>
      </c>
      <c r="O27" s="1">
        <f>H9</f>
        <v>107262</v>
      </c>
      <c r="P27" s="1">
        <f>H9</f>
        <v>107262</v>
      </c>
      <c r="Q27" s="1">
        <f>H9</f>
        <v>107262</v>
      </c>
    </row>
    <row r="28" spans="3:17" x14ac:dyDescent="0.3">
      <c r="C28" s="1" t="s">
        <v>38</v>
      </c>
      <c r="O28" s="1">
        <f>O26-O27</f>
        <v>1021389.5548479145</v>
      </c>
      <c r="P28" s="1">
        <f>P26-P27</f>
        <v>916283.52813637792</v>
      </c>
      <c r="Q28" s="1">
        <f>Q19*M9</f>
        <v>936330.9258537225</v>
      </c>
    </row>
    <row r="29" spans="3:17" ht="15" thickBot="1" x14ac:dyDescent="0.35">
      <c r="C29" s="1" t="s">
        <v>3</v>
      </c>
      <c r="O29" s="1">
        <f>F9</f>
        <v>3680621202</v>
      </c>
      <c r="P29" s="1">
        <f>F9</f>
        <v>3680621202</v>
      </c>
      <c r="Q29" s="1">
        <f>F9</f>
        <v>3680621202</v>
      </c>
    </row>
    <row r="30" spans="3:17" ht="15" thickBot="1" x14ac:dyDescent="0.35">
      <c r="C30" s="7" t="s">
        <v>39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f>O28/O29*10000000</f>
        <v>2775.046653246754</v>
      </c>
      <c r="P30" s="10">
        <f>P28/P29*10000000</f>
        <v>2489.4806551635411</v>
      </c>
      <c r="Q30" s="11">
        <f>Q28/Q29*10000000</f>
        <v>2543.9480850268778</v>
      </c>
    </row>
    <row r="31" spans="3:17" ht="15" thickBot="1" x14ac:dyDescent="0.35"/>
    <row r="32" spans="3:17" ht="15" thickBot="1" x14ac:dyDescent="0.35">
      <c r="L32" s="6" t="s">
        <v>44</v>
      </c>
      <c r="M32" s="12">
        <f>MIN(O30:Q30)</f>
        <v>2489.4806551635411</v>
      </c>
      <c r="N32" s="12" t="s">
        <v>45</v>
      </c>
      <c r="O32" s="13">
        <f>MAX(O30:Q30)</f>
        <v>2775.046653246754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Ahuja</dc:creator>
  <cp:lastModifiedBy>Aman Ahuja</cp:lastModifiedBy>
  <dcterms:created xsi:type="dcterms:W3CDTF">2025-05-17T23:51:41Z</dcterms:created>
  <dcterms:modified xsi:type="dcterms:W3CDTF">2025-05-18T15:11:11Z</dcterms:modified>
</cp:coreProperties>
</file>