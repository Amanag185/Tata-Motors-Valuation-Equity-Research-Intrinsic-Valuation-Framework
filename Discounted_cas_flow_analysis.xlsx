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5326B0EA-0E78-483A-8973-DA184916EB54}" xr6:coauthVersionLast="47" xr6:coauthVersionMax="47" xr10:uidLastSave="{00000000-0000-0000-0000-000000000000}"/>
  <bookViews>
    <workbookView xWindow="-108" yWindow="-108" windowWidth="23256" windowHeight="12456" xr2:uid="{6F3EC2C5-09DF-4514-9F59-99F6F238841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H43" i="2"/>
  <c r="G43" i="2"/>
  <c r="F43" i="2"/>
  <c r="E43" i="2"/>
  <c r="D43" i="2"/>
  <c r="R7" i="2"/>
  <c r="D33" i="2" s="1"/>
  <c r="R6" i="2"/>
  <c r="D34" i="2" s="1"/>
  <c r="I25" i="2"/>
  <c r="J25" i="2"/>
  <c r="H25" i="2"/>
  <c r="M6" i="2"/>
  <c r="J26" i="2" l="1"/>
  <c r="J28" i="2"/>
  <c r="I26" i="2"/>
  <c r="J29" i="2" l="1"/>
  <c r="E42" i="2"/>
  <c r="D42" i="2"/>
  <c r="D44" i="2" s="1"/>
  <c r="G42" i="2" l="1"/>
  <c r="G44" i="2" s="1"/>
  <c r="F42" i="2"/>
  <c r="F44" i="2" s="1"/>
  <c r="H42" i="2"/>
  <c r="F48" i="2" s="1"/>
  <c r="E44" i="2"/>
  <c r="F49" i="2" l="1"/>
  <c r="H44" i="2"/>
  <c r="F51" i="2" l="1"/>
  <c r="F61" i="2" s="1"/>
</calcChain>
</file>

<file path=xl/sharedStrings.xml><?xml version="1.0" encoding="utf-8"?>
<sst xmlns="http://schemas.openxmlformats.org/spreadsheetml/2006/main" count="58" uniqueCount="53">
  <si>
    <t>EBIT</t>
  </si>
  <si>
    <t>Tax</t>
  </si>
  <si>
    <t>Increment in Non Cash Working Capital</t>
  </si>
  <si>
    <t>Capital Expenditure</t>
  </si>
  <si>
    <t>Depreciation &amp; Amortization</t>
  </si>
  <si>
    <t>Free Cash Flow</t>
  </si>
  <si>
    <t>Assumptions</t>
  </si>
  <si>
    <t>2024-25</t>
  </si>
  <si>
    <t>2021-22</t>
  </si>
  <si>
    <t>2022-23</t>
  </si>
  <si>
    <t>2023-24</t>
  </si>
  <si>
    <t>Tax Rate-</t>
  </si>
  <si>
    <t>Growth Rate</t>
  </si>
  <si>
    <t>Future Free Cash Flows</t>
  </si>
  <si>
    <t>FFCF</t>
  </si>
  <si>
    <t>PV of FFCF</t>
  </si>
  <si>
    <t>Average Free Cash Flow</t>
  </si>
  <si>
    <t>2025-26</t>
  </si>
  <si>
    <t>2026-27</t>
  </si>
  <si>
    <t>Financial Year</t>
  </si>
  <si>
    <t>2027-28</t>
  </si>
  <si>
    <t>2028-29</t>
  </si>
  <si>
    <t>Discount Factor</t>
  </si>
  <si>
    <t>beta-</t>
  </si>
  <si>
    <t>Risk Free Return-</t>
  </si>
  <si>
    <t>Market Return-</t>
  </si>
  <si>
    <t>Average Growth Rate-</t>
  </si>
  <si>
    <t>Year 1-2</t>
  </si>
  <si>
    <t>Year 3-5</t>
  </si>
  <si>
    <t>Terminal Value</t>
  </si>
  <si>
    <t>Terminal Growth Rate-</t>
  </si>
  <si>
    <t>Perpetuity Growth Terminal Value</t>
  </si>
  <si>
    <t>PV of Terminal Value</t>
  </si>
  <si>
    <t>Enterprise Value to Equity Value</t>
  </si>
  <si>
    <t>Total Debt</t>
  </si>
  <si>
    <t>Cash and Cash Equivalents</t>
  </si>
  <si>
    <t>Enterprise Value</t>
  </si>
  <si>
    <t>Equity Value</t>
  </si>
  <si>
    <t>Total Outstanding Shares</t>
  </si>
  <si>
    <t>Calculating Share Price</t>
  </si>
  <si>
    <t>Cost of Equity</t>
  </si>
  <si>
    <t>D/D+E</t>
  </si>
  <si>
    <t>E/D+E</t>
  </si>
  <si>
    <t>WACC</t>
  </si>
  <si>
    <t>Cost of Debt</t>
  </si>
  <si>
    <t>Market Value of Equity (E)</t>
  </si>
  <si>
    <t>Market Value of Debt (D)</t>
  </si>
  <si>
    <t>Discounted Cash Flow(to the Firm)</t>
  </si>
  <si>
    <t>Free Cash Flows (to the Firm)</t>
  </si>
  <si>
    <t>Calculation Based on Assumptions</t>
  </si>
  <si>
    <t>in Rs.Crores</t>
  </si>
  <si>
    <t>Intrinsic Share Price (in Rupees)</t>
  </si>
  <si>
    <t>Values taken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</si>
</sst>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2"/>
      <color theme="1"/>
      <name val="Arial"/>
    </font>
    <font>
      <b/>
      <sz val="11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0" borderId="1" xfId="0" applyBorder="1"/>
    <xf numFmtId="10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9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164" fontId="6" fillId="0" borderId="0" xfId="0" applyNumberFormat="1" applyFont="1"/>
    <xf numFmtId="3" fontId="7" fillId="0" borderId="0" xfId="0" applyNumberFormat="1" applyFont="1"/>
    <xf numFmtId="0" fontId="0" fillId="5" borderId="0" xfId="0" applyFill="1"/>
    <xf numFmtId="0" fontId="2" fillId="0" borderId="0" xfId="0" applyFont="1"/>
    <xf numFmtId="0" fontId="2" fillId="0" borderId="2" xfId="0" applyFont="1" applyBorder="1"/>
    <xf numFmtId="0" fontId="8" fillId="0" borderId="0" xfId="1" applyFont="1" applyAlignment="1">
      <alignment horizontal="left"/>
    </xf>
    <xf numFmtId="0" fontId="1" fillId="0" borderId="0" xfId="0" applyFont="1"/>
    <xf numFmtId="10" fontId="8" fillId="6" borderId="0" xfId="1" applyNumberFormat="1" applyFont="1" applyFill="1"/>
    <xf numFmtId="0" fontId="6" fillId="0" borderId="1" xfId="0" applyFont="1" applyBorder="1"/>
    <xf numFmtId="0" fontId="6" fillId="4" borderId="0" xfId="0" applyFont="1" applyFill="1"/>
    <xf numFmtId="0" fontId="9" fillId="4" borderId="0" xfId="0" applyFont="1" applyFill="1"/>
    <xf numFmtId="0" fontId="5" fillId="0" borderId="0" xfId="1" applyFont="1" applyAlignment="1">
      <alignment horizontal="left"/>
    </xf>
    <xf numFmtId="10" fontId="5" fillId="6" borderId="0" xfId="1" applyNumberFormat="1" applyFont="1" applyFill="1"/>
    <xf numFmtId="0" fontId="1" fillId="0" borderId="1" xfId="0" applyFont="1" applyBorder="1"/>
    <xf numFmtId="0" fontId="1" fillId="7" borderId="1" xfId="0" applyFont="1" applyFill="1" applyBorder="1"/>
    <xf numFmtId="0" fontId="2" fillId="0" borderId="3" xfId="0" applyFont="1" applyBorder="1"/>
    <xf numFmtId="0" fontId="10" fillId="0" borderId="4" xfId="0" applyFont="1" applyBorder="1"/>
  </cellXfs>
  <cellStyles count="2">
    <cellStyle name="Normal" xfId="0" builtinId="0"/>
    <cellStyle name="Normal 2" xfId="1" xr:uid="{FA634862-B558-4C08-AA89-A44465792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B1A6-ACB2-4AD8-ABAE-C3250D0DE510}">
  <dimension ref="A1:R61"/>
  <sheetViews>
    <sheetView tabSelected="1" topLeftCell="A13" zoomScale="102" workbookViewId="0">
      <selection activeCell="B13" sqref="B13"/>
    </sheetView>
  </sheetViews>
  <sheetFormatPr defaultRowHeight="14.4" x14ac:dyDescent="0.3"/>
  <cols>
    <col min="4" max="4" width="10.77734375" customWidth="1"/>
    <col min="6" max="6" width="11.44140625" customWidth="1"/>
    <col min="13" max="13" width="12.33203125" customWidth="1"/>
  </cols>
  <sheetData>
    <row r="1" spans="1:18" ht="32.4" x14ac:dyDescent="0.6">
      <c r="H1" s="1" t="s">
        <v>47</v>
      </c>
      <c r="I1" s="2"/>
      <c r="J1" s="2"/>
      <c r="K1" s="2"/>
      <c r="L1" s="2"/>
      <c r="M1" s="2"/>
      <c r="N1" s="2"/>
    </row>
    <row r="4" spans="1:18" x14ac:dyDescent="0.3">
      <c r="A4" s="6" t="s">
        <v>6</v>
      </c>
      <c r="B4" s="6"/>
      <c r="C4" s="6"/>
      <c r="D4" s="6"/>
      <c r="E4" s="6"/>
      <c r="F4" s="6"/>
      <c r="G4" s="6"/>
      <c r="H4" s="6"/>
      <c r="I4" s="6"/>
      <c r="K4" s="21" t="s">
        <v>49</v>
      </c>
      <c r="L4" s="20"/>
      <c r="M4" s="20"/>
      <c r="O4" s="7" t="s">
        <v>52</v>
      </c>
      <c r="P4" s="7"/>
      <c r="Q4" s="7"/>
    </row>
    <row r="6" spans="1:18" x14ac:dyDescent="0.3">
      <c r="A6" t="s">
        <v>30</v>
      </c>
      <c r="D6" s="8">
        <v>0.03</v>
      </c>
      <c r="F6" s="4"/>
      <c r="H6" t="s">
        <v>27</v>
      </c>
      <c r="I6" t="s">
        <v>28</v>
      </c>
      <c r="K6" t="s">
        <v>40</v>
      </c>
      <c r="M6" s="11">
        <f>D10+D9*(D11-D10)</f>
        <v>0.16215199999999999</v>
      </c>
      <c r="O6" t="s">
        <v>45</v>
      </c>
      <c r="R6" s="9">
        <f>2.69*1000000000000/10000000</f>
        <v>269000</v>
      </c>
    </row>
    <row r="7" spans="1:18" x14ac:dyDescent="0.3">
      <c r="A7" t="s">
        <v>11</v>
      </c>
      <c r="D7" s="8">
        <v>0.25</v>
      </c>
      <c r="F7" t="s">
        <v>12</v>
      </c>
      <c r="H7" s="8">
        <v>0.15</v>
      </c>
      <c r="I7" s="8">
        <v>0.1</v>
      </c>
      <c r="O7" t="s">
        <v>46</v>
      </c>
      <c r="R7" s="9">
        <f>1736*1000000000/10000000</f>
        <v>173600</v>
      </c>
    </row>
    <row r="8" spans="1:18" x14ac:dyDescent="0.3">
      <c r="A8" t="s">
        <v>44</v>
      </c>
      <c r="D8" s="10">
        <v>7.4499999999999997E-2</v>
      </c>
    </row>
    <row r="9" spans="1:18" x14ac:dyDescent="0.3">
      <c r="A9" t="s">
        <v>23</v>
      </c>
      <c r="D9" s="9">
        <v>1.1399999999999999</v>
      </c>
    </row>
    <row r="10" spans="1:18" x14ac:dyDescent="0.3">
      <c r="A10" t="s">
        <v>24</v>
      </c>
      <c r="D10" s="10">
        <v>6.3200000000000006E-2</v>
      </c>
    </row>
    <row r="11" spans="1:18" x14ac:dyDescent="0.3">
      <c r="A11" t="s">
        <v>25</v>
      </c>
      <c r="D11" s="8">
        <v>0.15</v>
      </c>
    </row>
    <row r="15" spans="1:18" x14ac:dyDescent="0.3">
      <c r="A15" s="13" t="s">
        <v>48</v>
      </c>
      <c r="B15" s="13"/>
      <c r="C15" s="13"/>
      <c r="D15" s="13"/>
      <c r="E15" s="13"/>
      <c r="F15" s="13"/>
      <c r="G15" s="13"/>
      <c r="H15" s="13"/>
      <c r="I15" s="13"/>
      <c r="J15" s="13"/>
      <c r="M15" s="6" t="s">
        <v>50</v>
      </c>
    </row>
    <row r="16" spans="1:18" x14ac:dyDescent="0.3">
      <c r="C16" t="s">
        <v>19</v>
      </c>
      <c r="E16" t="s">
        <v>7</v>
      </c>
      <c r="H16" t="s">
        <v>8</v>
      </c>
      <c r="I16" t="s">
        <v>9</v>
      </c>
      <c r="J16" t="s">
        <v>10</v>
      </c>
    </row>
    <row r="19" spans="1:10" x14ac:dyDescent="0.3">
      <c r="A19" t="s">
        <v>0</v>
      </c>
      <c r="H19" s="9">
        <v>2309</v>
      </c>
      <c r="I19" s="9">
        <v>13619</v>
      </c>
      <c r="J19" s="9">
        <v>37941</v>
      </c>
    </row>
    <row r="20" spans="1:10" x14ac:dyDescent="0.3">
      <c r="A20" t="s">
        <v>1</v>
      </c>
      <c r="H20" s="8">
        <v>0.25</v>
      </c>
      <c r="I20" s="8">
        <v>0.25</v>
      </c>
      <c r="J20" s="8">
        <v>0.25</v>
      </c>
    </row>
    <row r="21" spans="1:10" x14ac:dyDescent="0.3">
      <c r="A21" t="s">
        <v>4</v>
      </c>
      <c r="H21" s="9">
        <v>24836</v>
      </c>
      <c r="I21" s="9">
        <v>24860</v>
      </c>
      <c r="J21" s="12">
        <v>27270</v>
      </c>
    </row>
    <row r="22" spans="1:10" x14ac:dyDescent="0.3">
      <c r="A22" t="s">
        <v>3</v>
      </c>
      <c r="H22" s="9">
        <v>15168</v>
      </c>
      <c r="I22" s="9">
        <v>19230</v>
      </c>
      <c r="J22" s="9">
        <v>31414</v>
      </c>
    </row>
    <row r="23" spans="1:10" x14ac:dyDescent="0.3">
      <c r="A23" t="s">
        <v>2</v>
      </c>
      <c r="F23" s="9"/>
      <c r="H23" s="9">
        <v>-28145</v>
      </c>
      <c r="I23" s="9">
        <v>-30314</v>
      </c>
      <c r="J23" s="9">
        <v>-33581</v>
      </c>
    </row>
    <row r="24" spans="1:10" ht="15" thickBot="1" x14ac:dyDescent="0.35">
      <c r="A24" s="3"/>
      <c r="B24" s="3"/>
      <c r="C24" s="3"/>
      <c r="D24" s="3"/>
      <c r="E24" s="3"/>
      <c r="F24" s="3"/>
      <c r="G24" s="3"/>
      <c r="H24" s="19"/>
      <c r="I24" s="19"/>
      <c r="J24" s="19"/>
    </row>
    <row r="25" spans="1:10" x14ac:dyDescent="0.3">
      <c r="A25" s="14" t="s">
        <v>5</v>
      </c>
      <c r="H25" s="9">
        <f>H19*(1-H20)+H21-H22-H23</f>
        <v>39544.75</v>
      </c>
      <c r="I25" s="9">
        <f t="shared" ref="I25:J25" si="0">I19*(1-I20)+I21-I22-I23</f>
        <v>46158.25</v>
      </c>
      <c r="J25" s="9">
        <f t="shared" si="0"/>
        <v>57892.75</v>
      </c>
    </row>
    <row r="26" spans="1:10" x14ac:dyDescent="0.3">
      <c r="A26" t="s">
        <v>12</v>
      </c>
      <c r="H26" s="9"/>
      <c r="I26" s="9">
        <f>(I25-H25)/H25*100</f>
        <v>16.724091061392475</v>
      </c>
      <c r="J26" s="9">
        <f>(J25-I25)/I25*100</f>
        <v>25.422324286557657</v>
      </c>
    </row>
    <row r="27" spans="1:10" x14ac:dyDescent="0.3">
      <c r="H27" s="9"/>
      <c r="I27" s="9"/>
      <c r="J27" s="9"/>
    </row>
    <row r="28" spans="1:10" x14ac:dyDescent="0.3">
      <c r="A28" s="14" t="s">
        <v>16</v>
      </c>
      <c r="H28" s="9"/>
      <c r="I28" s="9"/>
      <c r="J28" s="9">
        <f>(J25+I25+H25)/3</f>
        <v>47865.25</v>
      </c>
    </row>
    <row r="29" spans="1:10" x14ac:dyDescent="0.3">
      <c r="A29" t="s">
        <v>26</v>
      </c>
      <c r="H29" s="9"/>
      <c r="I29" s="9"/>
      <c r="J29" s="9">
        <f>(I26+J26)/2</f>
        <v>21.073207673975066</v>
      </c>
    </row>
    <row r="31" spans="1:10" x14ac:dyDescent="0.3">
      <c r="A31" s="13" t="s">
        <v>43</v>
      </c>
      <c r="B31" s="13"/>
      <c r="C31" s="13"/>
      <c r="D31" s="13"/>
    </row>
    <row r="32" spans="1:10" x14ac:dyDescent="0.3">
      <c r="A32" s="16" t="s">
        <v>40</v>
      </c>
      <c r="B32" s="18"/>
      <c r="C32" s="17"/>
      <c r="D32" s="10">
        <v>0.16215199999999999</v>
      </c>
      <c r="E32" s="5"/>
    </row>
    <row r="33" spans="1:8" x14ac:dyDescent="0.3">
      <c r="A33" s="16" t="s">
        <v>41</v>
      </c>
      <c r="B33" s="18"/>
      <c r="C33" s="17"/>
      <c r="D33" s="9">
        <f>R7/(R7+R6)</f>
        <v>0.39222774514234071</v>
      </c>
    </row>
    <row r="34" spans="1:8" x14ac:dyDescent="0.3">
      <c r="A34" s="16" t="s">
        <v>42</v>
      </c>
      <c r="B34" s="18"/>
      <c r="C34" s="17"/>
      <c r="D34" s="9">
        <f>R6/(R7+R6)</f>
        <v>0.60777225485765929</v>
      </c>
    </row>
    <row r="35" spans="1:8" ht="15" thickBot="1" x14ac:dyDescent="0.35">
      <c r="A35" s="24"/>
      <c r="B35" s="25"/>
      <c r="C35" s="24"/>
      <c r="D35" s="19"/>
    </row>
    <row r="36" spans="1:8" x14ac:dyDescent="0.3">
      <c r="A36" s="22" t="s">
        <v>43</v>
      </c>
      <c r="B36" s="23"/>
      <c r="C36" s="17"/>
      <c r="D36" s="10">
        <v>0.12046</v>
      </c>
    </row>
    <row r="39" spans="1:8" x14ac:dyDescent="0.3">
      <c r="A39" s="13" t="s">
        <v>13</v>
      </c>
      <c r="B39" s="13"/>
      <c r="C39" s="13"/>
      <c r="D39" s="13"/>
      <c r="E39" s="13"/>
      <c r="F39" s="13"/>
      <c r="G39" s="13"/>
      <c r="H39" s="13"/>
    </row>
    <row r="41" spans="1:8" x14ac:dyDescent="0.3">
      <c r="A41" t="s">
        <v>19</v>
      </c>
      <c r="D41" t="s">
        <v>7</v>
      </c>
      <c r="E41" t="s">
        <v>17</v>
      </c>
      <c r="F41" t="s">
        <v>18</v>
      </c>
      <c r="G41" t="s">
        <v>20</v>
      </c>
      <c r="H41" t="s">
        <v>21</v>
      </c>
    </row>
    <row r="42" spans="1:8" x14ac:dyDescent="0.3">
      <c r="A42" t="s">
        <v>14</v>
      </c>
      <c r="D42" s="9">
        <f>J28*(1+H7)</f>
        <v>55045.037499999999</v>
      </c>
      <c r="E42" s="9">
        <f>J28*(1+H7)^2</f>
        <v>63301.793124999989</v>
      </c>
      <c r="F42" s="9">
        <f>E42*(1+I7)</f>
        <v>69631.972437499993</v>
      </c>
      <c r="G42" s="9">
        <f>E42*(1+I7)^2</f>
        <v>76595.169681250001</v>
      </c>
      <c r="H42" s="9">
        <f>E42*(1+I7)^3</f>
        <v>84254.686649375013</v>
      </c>
    </row>
    <row r="43" spans="1:8" x14ac:dyDescent="0.3">
      <c r="A43" t="s">
        <v>22</v>
      </c>
      <c r="D43" s="9">
        <f>1/(1+D36)</f>
        <v>0.89249058422433647</v>
      </c>
      <c r="E43" s="9">
        <f>1/(1+D36)^2</f>
        <v>0.7965394429290974</v>
      </c>
      <c r="F43" s="9">
        <f>1/(1+D36)^3</f>
        <v>0.71090395277751761</v>
      </c>
      <c r="G43" s="9">
        <f>1/(1+D36)^4</f>
        <v>0.63447508414179676</v>
      </c>
      <c r="H43" s="9">
        <f>1/(1+D36)^5</f>
        <v>0.56626303852149718</v>
      </c>
    </row>
    <row r="44" spans="1:8" x14ac:dyDescent="0.3">
      <c r="A44" t="s">
        <v>15</v>
      </c>
      <c r="D44" s="9">
        <f>D42*D43</f>
        <v>49127.177677025509</v>
      </c>
      <c r="E44" s="9">
        <f t="shared" ref="E44:H44" si="1">E42*E43</f>
        <v>50422.375032200456</v>
      </c>
      <c r="F44" s="9">
        <f t="shared" si="1"/>
        <v>49501.644445513906</v>
      </c>
      <c r="G44" s="9">
        <f t="shared" si="1"/>
        <v>48597.726728366295</v>
      </c>
      <c r="H44" s="9">
        <f t="shared" si="1"/>
        <v>47710.314871751718</v>
      </c>
    </row>
    <row r="46" spans="1:8" x14ac:dyDescent="0.3">
      <c r="A46" s="13" t="s">
        <v>29</v>
      </c>
      <c r="B46" s="13"/>
      <c r="C46" s="13"/>
      <c r="D46" s="13"/>
      <c r="E46" s="13"/>
      <c r="F46" s="13"/>
    </row>
    <row r="48" spans="1:8" x14ac:dyDescent="0.3">
      <c r="A48" t="s">
        <v>31</v>
      </c>
      <c r="F48" s="9">
        <f>H42*(1+D6)/(D36-D6)</f>
        <v>959344.7628659769</v>
      </c>
    </row>
    <row r="49" spans="1:6" x14ac:dyDescent="0.3">
      <c r="A49" t="s">
        <v>32</v>
      </c>
      <c r="F49" s="9">
        <f>F48*H43</f>
        <v>543241.4804101733</v>
      </c>
    </row>
    <row r="50" spans="1:6" ht="15" thickBot="1" x14ac:dyDescent="0.35">
      <c r="A50" s="3"/>
      <c r="B50" s="3"/>
      <c r="C50" s="3"/>
      <c r="D50" s="3"/>
      <c r="E50" s="3"/>
      <c r="F50" s="19"/>
    </row>
    <row r="51" spans="1:6" x14ac:dyDescent="0.3">
      <c r="A51" s="14" t="s">
        <v>36</v>
      </c>
      <c r="F51" s="9">
        <f>F49+D44+E44+F44+G44+H44</f>
        <v>788600.71916503133</v>
      </c>
    </row>
    <row r="53" spans="1:6" x14ac:dyDescent="0.3">
      <c r="A53" s="13" t="s">
        <v>33</v>
      </c>
      <c r="B53" s="13"/>
      <c r="C53" s="13"/>
      <c r="D53" s="13"/>
      <c r="E53" s="13"/>
      <c r="F53" s="13"/>
    </row>
    <row r="55" spans="1:6" x14ac:dyDescent="0.3">
      <c r="A55" t="s">
        <v>34</v>
      </c>
      <c r="F55" s="9">
        <v>107262</v>
      </c>
    </row>
    <row r="56" spans="1:6" x14ac:dyDescent="0.3">
      <c r="A56" t="s">
        <v>35</v>
      </c>
      <c r="F56" s="9">
        <v>45807</v>
      </c>
    </row>
    <row r="57" spans="1:6" x14ac:dyDescent="0.3">
      <c r="A57" s="14" t="s">
        <v>37</v>
      </c>
      <c r="F57" s="9">
        <f>F51-F55+F56</f>
        <v>727145.71916503133</v>
      </c>
    </row>
    <row r="59" spans="1:6" x14ac:dyDescent="0.3">
      <c r="A59" s="13" t="s">
        <v>39</v>
      </c>
      <c r="B59" s="13"/>
      <c r="C59" s="13"/>
      <c r="D59" s="13"/>
      <c r="E59" s="13"/>
      <c r="F59" s="13"/>
    </row>
    <row r="60" spans="1:6" ht="15" thickBot="1" x14ac:dyDescent="0.35">
      <c r="A60" t="s">
        <v>38</v>
      </c>
      <c r="F60" s="9">
        <v>3680621202</v>
      </c>
    </row>
    <row r="61" spans="1:6" ht="15" thickBot="1" x14ac:dyDescent="0.35">
      <c r="A61" s="15" t="s">
        <v>51</v>
      </c>
      <c r="B61" s="26"/>
      <c r="C61" s="26"/>
      <c r="D61" s="26"/>
      <c r="E61" s="26"/>
      <c r="F61" s="27">
        <f>F57*10000000/F60</f>
        <v>1975.6059623030758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Ahuja</dc:creator>
  <cp:lastModifiedBy>Aman Ahuja</cp:lastModifiedBy>
  <dcterms:created xsi:type="dcterms:W3CDTF">2025-05-17T03:18:18Z</dcterms:created>
  <dcterms:modified xsi:type="dcterms:W3CDTF">2025-05-22T01:49:45Z</dcterms:modified>
</cp:coreProperties>
</file>